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1Уник\2 курс\2 пол\БД\лабы\"/>
    </mc:Choice>
  </mc:AlternateContent>
  <bookViews>
    <workbookView xWindow="0" yWindow="0" windowWidth="38400" windowHeight="12300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B66" i="1" l="1"/>
  <c r="K28" i="1"/>
  <c r="K27" i="1"/>
  <c r="K26" i="1"/>
  <c r="K25" i="1"/>
  <c r="K24" i="1" l="1"/>
  <c r="L47" i="1"/>
  <c r="M47" i="1"/>
  <c r="L46" i="1"/>
  <c r="L45" i="1"/>
  <c r="L44" i="1"/>
  <c r="L43" i="1"/>
  <c r="L42" i="1"/>
  <c r="M42" i="1"/>
  <c r="M43" i="1"/>
  <c r="M44" i="1"/>
  <c r="A78" i="1" l="1"/>
  <c r="A77" i="1"/>
  <c r="A76" i="1"/>
  <c r="A75" i="1"/>
  <c r="A73" i="1"/>
  <c r="B78" i="1"/>
  <c r="B77" i="1"/>
  <c r="B76" i="1"/>
  <c r="B75" i="1"/>
  <c r="B74" i="1"/>
  <c r="B73" i="1"/>
  <c r="A74" i="1"/>
  <c r="M67" i="1"/>
  <c r="L67" i="1"/>
  <c r="A46" i="1"/>
  <c r="A45" i="1"/>
  <c r="B46" i="1"/>
  <c r="B45" i="1"/>
  <c r="E54" i="1"/>
  <c r="F54" i="1"/>
  <c r="A35" i="1"/>
  <c r="A34" i="1"/>
  <c r="B35" i="1"/>
  <c r="B34" i="1"/>
  <c r="D44" i="1"/>
  <c r="D43" i="1"/>
  <c r="D42" i="1"/>
  <c r="E42" i="1"/>
  <c r="E43" i="1"/>
  <c r="E44" i="1"/>
  <c r="M41" i="1"/>
  <c r="L40" i="1"/>
  <c r="L41" i="1"/>
  <c r="M40" i="1"/>
  <c r="H7" i="1"/>
  <c r="E41" i="1"/>
  <c r="E40" i="1"/>
  <c r="E39" i="1"/>
  <c r="E38" i="1"/>
  <c r="E37" i="1"/>
  <c r="E36" i="1"/>
  <c r="E35" i="1"/>
  <c r="E34" i="1"/>
  <c r="E33" i="1"/>
  <c r="M66" i="1"/>
  <c r="M65" i="1"/>
  <c r="M64" i="1"/>
  <c r="M63" i="1"/>
  <c r="M62" i="1"/>
  <c r="A72" i="1"/>
  <c r="A71" i="1"/>
  <c r="A70" i="1"/>
  <c r="A68" i="1"/>
  <c r="A69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2" i="1"/>
  <c r="A53" i="1"/>
  <c r="A51" i="1"/>
  <c r="B72" i="1"/>
  <c r="B71" i="1"/>
  <c r="B70" i="1"/>
  <c r="B69" i="1"/>
  <c r="B68" i="1"/>
  <c r="B67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44" i="1"/>
  <c r="B43" i="1"/>
  <c r="B42" i="1"/>
  <c r="B41" i="1"/>
  <c r="B40" i="1"/>
  <c r="B39" i="1"/>
  <c r="A44" i="1"/>
  <c r="A43" i="1"/>
  <c r="A42" i="1"/>
  <c r="A41" i="1"/>
  <c r="A40" i="1"/>
  <c r="A39" i="1"/>
  <c r="F53" i="1"/>
  <c r="F52" i="1"/>
  <c r="F51" i="1"/>
  <c r="F50" i="1"/>
  <c r="F49" i="1"/>
  <c r="F48" i="1"/>
  <c r="E53" i="1"/>
  <c r="E52" i="1"/>
  <c r="E51" i="1"/>
  <c r="E50" i="1"/>
  <c r="E49" i="1"/>
  <c r="E48" i="1"/>
  <c r="B33" i="1"/>
  <c r="B32" i="1"/>
  <c r="B31" i="1"/>
  <c r="B30" i="1"/>
  <c r="B29" i="1"/>
  <c r="B28" i="1"/>
  <c r="B27" i="1"/>
  <c r="A33" i="1"/>
  <c r="A32" i="1"/>
  <c r="A31" i="1"/>
  <c r="A30" i="1"/>
  <c r="A29" i="1"/>
  <c r="A28" i="1"/>
  <c r="A27" i="1"/>
  <c r="D41" i="1"/>
  <c r="D40" i="1"/>
  <c r="D39" i="1"/>
  <c r="D38" i="1"/>
  <c r="D37" i="1"/>
  <c r="D36" i="1"/>
  <c r="D35" i="1"/>
  <c r="D34" i="1"/>
  <c r="D33" i="1"/>
  <c r="M46" i="1"/>
  <c r="M45" i="1"/>
  <c r="M39" i="1"/>
  <c r="M38" i="1"/>
  <c r="M37" i="1"/>
  <c r="M36" i="1"/>
  <c r="M35" i="1"/>
  <c r="M34" i="1"/>
  <c r="L39" i="1"/>
  <c r="L38" i="1"/>
  <c r="L37" i="1"/>
  <c r="L36" i="1"/>
  <c r="L35" i="1"/>
  <c r="L34" i="1"/>
  <c r="I6" i="1"/>
  <c r="I5" i="1"/>
  <c r="I4" i="1"/>
  <c r="I3" i="1"/>
  <c r="H4" i="1"/>
  <c r="H6" i="1"/>
  <c r="H3" i="1"/>
  <c r="L66" i="1" l="1"/>
  <c r="L65" i="1"/>
  <c r="L64" i="1"/>
  <c r="L63" i="1"/>
  <c r="L62" i="1"/>
</calcChain>
</file>

<file path=xl/sharedStrings.xml><?xml version="1.0" encoding="utf-8"?>
<sst xmlns="http://schemas.openxmlformats.org/spreadsheetml/2006/main" count="258" uniqueCount="169">
  <si>
    <t>Игры</t>
  </si>
  <si>
    <t>Наименование</t>
  </si>
  <si>
    <t>Краткое описание</t>
  </si>
  <si>
    <t>Дата анонса</t>
  </si>
  <si>
    <t>URL трейлера</t>
  </si>
  <si>
    <t>URL обложки игры</t>
  </si>
  <si>
    <t>URL сайта игры</t>
  </si>
  <si>
    <t>Red dead redemption 2</t>
  </si>
  <si>
    <t xml:space="preserve">Игра RDR2, получившая более 175 наград и 250 высших оценок от игровых изданий, – это грандиозная история о судьбе бандита Артура Моргана и банды Ван дер Линде, бегущих от закона через всю Америку на заре современной эпохи. </t>
  </si>
  <si>
    <t>https://www.youtube.com/watch?v=0kqEBOZaP94</t>
  </si>
  <si>
    <t>https://upload.wikimedia.org/wikipedia/ru/thumb/0/03/Red_Dead_Redemption_2_coverart.jpg/274px-Red_Dead_Redemption_2_coverart.jpg</t>
  </si>
  <si>
    <t>https://www.rockstargames.com/reddeadredemption2/restricted-content/agegate/form?redirect=https%3A%2F%2Fwww.rockstargames.com%2Freddeadredemption2%2Fru&amp;options=&amp;locale=ru_ru</t>
  </si>
  <si>
    <t>The Witcher 3</t>
  </si>
  <si>
    <t>Когда в Северных королевствах бушует война, вы заключаете величайший контракт своей жизни — отыскать Дитя предназначения, живое оружие, которое может изменить облик мира.</t>
  </si>
  <si>
    <t>https://www.youtube.com/watch?v=A-mCKNTU_mU</t>
  </si>
  <si>
    <t>https://upload.wikimedia.org/wikipedia/ru/thumb/a/a2/The_Witcher_3-_Wild_Hunt_Cover.jpg/266px-The_Witcher_3-_Wild_Hunt_Cover.jpg</t>
  </si>
  <si>
    <t>https://thewitcher.com/ru/witcher3/</t>
  </si>
  <si>
    <t>Warcraft 3: The Frozen Throne</t>
  </si>
  <si>
    <t xml:space="preserve">The Frozen Throne открывает перед геймерами новую главу в эпической саге о Warcraft. В одиночной кампании игроки возвращаются в раздираемый войной мир Азерота. </t>
  </si>
  <si>
    <t>https://upload.wikimedia.org/wikipedia/ru/thumb/0/04/Warcraft_III_The_Frozen_Throne_Cover.jpg/274px-Warcraft_III_The_Frozen_Throne_Cover.jpg</t>
  </si>
  <si>
    <t>http://eu.blizzard.com/ru-ru/games/war3/</t>
  </si>
  <si>
    <t>Fallout 2</t>
  </si>
  <si>
    <t>Fallout 2 — это продолжение признанной всеми игры, которая вытащила жанр RPG из подземелий и поместила его в динамичное, апокалиптическое ретро-будущее.</t>
  </si>
  <si>
    <t>https://www.youtube.com/watch?v=5fr1KDYGkeo</t>
  </si>
  <si>
    <t>https://upload.wikimedia.org/wikipedia/ru/thumb/4/49/Fallout2.jpg/274px-Fallout2.jpg</t>
  </si>
  <si>
    <t>https://web.archive.org/web/19980710153639/http://interplay.com/fallout2/</t>
  </si>
  <si>
    <t>Серии игр</t>
  </si>
  <si>
    <t>Движки</t>
  </si>
  <si>
    <t>URL обложки серии</t>
  </si>
  <si>
    <t>Расположение</t>
  </si>
  <si>
    <t>Дата основания</t>
  </si>
  <si>
    <t>URL сайта издателя</t>
  </si>
  <si>
    <t xml:space="preserve">Red Dead </t>
  </si>
  <si>
    <t>https://upload.wikimedia.org/wikipedia/ru/f/f0/Red_Dead_Logo.png</t>
  </si>
  <si>
    <t>RAGE</t>
  </si>
  <si>
    <t>Rockstar Games</t>
  </si>
  <si>
    <t>США</t>
  </si>
  <si>
    <t>https://www.rockstargames.com/ru</t>
  </si>
  <si>
    <t>The Witcher</t>
  </si>
  <si>
    <t>REDengine 3</t>
  </si>
  <si>
    <t>CD Projekt RED</t>
  </si>
  <si>
    <t>Польша</t>
  </si>
  <si>
    <t>http://cdprojektred.com/</t>
  </si>
  <si>
    <t>Warcraft</t>
  </si>
  <si>
    <t>Fallout engine</t>
  </si>
  <si>
    <t>Blizzard Entertainment</t>
  </si>
  <si>
    <t>http://www.blizzard.com/</t>
  </si>
  <si>
    <t>Fallout</t>
  </si>
  <si>
    <t>https://upload.wikimedia.org/wikipedia/commons/thumb/4/40/Fallout_logo.svg/2560px-Fallout_logo.svg.png</t>
  </si>
  <si>
    <t>СофтКлаб</t>
  </si>
  <si>
    <t>Россия</t>
  </si>
  <si>
    <t>https://www.softclub.ru/</t>
  </si>
  <si>
    <t>Capcom</t>
  </si>
  <si>
    <t>Япония</t>
  </si>
  <si>
    <t>http://www.capcom.com/</t>
  </si>
  <si>
    <t>Bethesda Softworks</t>
  </si>
  <si>
    <t>https://bethesda.net/</t>
  </si>
  <si>
    <t>Платформы</t>
  </si>
  <si>
    <t>PC</t>
  </si>
  <si>
    <t>Playstation 4</t>
  </si>
  <si>
    <t>Xbox One</t>
  </si>
  <si>
    <t>Nintendo Switch</t>
  </si>
  <si>
    <t>Saber Interactive</t>
  </si>
  <si>
    <t>https://saber3d.com/</t>
  </si>
  <si>
    <t>Black Isle Studios</t>
  </si>
  <si>
    <t>https://web.archive.org/web/20060823210858/http://www.blackisle.com/</t>
  </si>
  <si>
    <t>Платформы к играм</t>
  </si>
  <si>
    <t>Возрастные рейтинги</t>
  </si>
  <si>
    <t>Дата выхода</t>
  </si>
  <si>
    <t>ESRB: M</t>
  </si>
  <si>
    <t>PEGI: 18</t>
  </si>
  <si>
    <t>ESRB: T</t>
  </si>
  <si>
    <t>PEGI: 12</t>
  </si>
  <si>
    <t>Режимы игр</t>
  </si>
  <si>
    <t>Возрастные рейтинги к играм</t>
  </si>
  <si>
    <t>однопользовательский</t>
  </si>
  <si>
    <t>многопользовательский</t>
  </si>
  <si>
    <t>Режимы игры к играм</t>
  </si>
  <si>
    <t>Языки</t>
  </si>
  <si>
    <t>Жанры</t>
  </si>
  <si>
    <t>Английский</t>
  </si>
  <si>
    <t>RPG</t>
  </si>
  <si>
    <t>Русский</t>
  </si>
  <si>
    <t>Strategy in Real-Time</t>
  </si>
  <si>
    <t>Испанский</t>
  </si>
  <si>
    <t>Action</t>
  </si>
  <si>
    <t>Итальянский</t>
  </si>
  <si>
    <t>Open-World</t>
  </si>
  <si>
    <t>Жанры к играм</t>
  </si>
  <si>
    <t>Немецкий</t>
  </si>
  <si>
    <t>Французский</t>
  </si>
  <si>
    <t>Польский</t>
  </si>
  <si>
    <t>Языки к играм</t>
  </si>
  <si>
    <t>Сотрудники</t>
  </si>
  <si>
    <t>Тип</t>
  </si>
  <si>
    <t>id</t>
  </si>
  <si>
    <t>Фамилия</t>
  </si>
  <si>
    <t>Имя</t>
  </si>
  <si>
    <t>Должность</t>
  </si>
  <si>
    <t>Озвучка</t>
  </si>
  <si>
    <t>Пардо</t>
  </si>
  <si>
    <t>Роб</t>
  </si>
  <si>
    <t>Геймдизайнер</t>
  </si>
  <si>
    <t>Интерфейс</t>
  </si>
  <si>
    <t>Хаузер</t>
  </si>
  <si>
    <t>Сэм</t>
  </si>
  <si>
    <t>Продюсер</t>
  </si>
  <si>
    <t>Вон</t>
  </si>
  <si>
    <t>Тодд</t>
  </si>
  <si>
    <t>Вице-президент по разработкам</t>
  </si>
  <si>
    <t>Кичиньский</t>
  </si>
  <si>
    <t>Адам</t>
  </si>
  <si>
    <t>Генеральный директор</t>
  </si>
  <si>
    <t>Хукер</t>
  </si>
  <si>
    <t>Фил</t>
  </si>
  <si>
    <t>Программист</t>
  </si>
  <si>
    <t>Пользователи</t>
  </si>
  <si>
    <t>Логин</t>
  </si>
  <si>
    <t>Пароль</t>
  </si>
  <si>
    <t>Admin</t>
  </si>
  <si>
    <t>admin</t>
  </si>
  <si>
    <t>Yasd</t>
  </si>
  <si>
    <t>name</t>
  </si>
  <si>
    <t>qwer1234</t>
  </si>
  <si>
    <t>Grey</t>
  </si>
  <si>
    <t>wasd</t>
  </si>
  <si>
    <t>wasdfs456</t>
  </si>
  <si>
    <t>Black</t>
  </si>
  <si>
    <t>qwer</t>
  </si>
  <si>
    <t>1234567890asd</t>
  </si>
  <si>
    <t>Jasdas</t>
  </si>
  <si>
    <t>frasd</t>
  </si>
  <si>
    <t>1hdtuset123</t>
  </si>
  <si>
    <t>Отзывы</t>
  </si>
  <si>
    <t>Оценка</t>
  </si>
  <si>
    <t>Текст отзыва</t>
  </si>
  <si>
    <t>Дата</t>
  </si>
  <si>
    <t>id Пользователя</t>
  </si>
  <si>
    <t>Best game, ever created by human being!</t>
  </si>
  <si>
    <t>Хочется стереть себе память...и пройти заного)</t>
  </si>
  <si>
    <t>Шедевр</t>
  </si>
  <si>
    <t>Great Game. I hope one day we are allowed to play it again. Damn Reforged to Hell.</t>
  </si>
  <si>
    <t>Минус этой игры в том,что она кончается.</t>
  </si>
  <si>
    <t xml:space="preserve">  </t>
  </si>
  <si>
    <t>Id Движка</t>
  </si>
  <si>
    <t>id Серии игры</t>
  </si>
  <si>
    <t>id Игры</t>
  </si>
  <si>
    <t>id Платформы</t>
  </si>
  <si>
    <t>id Возрастного рейтинга</t>
  </si>
  <si>
    <t>id Режима игры</t>
  </si>
  <si>
    <t>Id Жанра</t>
  </si>
  <si>
    <t>id Языка</t>
  </si>
  <si>
    <t>Cyberpunk 2077</t>
  </si>
  <si>
    <t>Cyberpunk 2077 — приключенческая ролевая игра, действие которой происходит в мегаполисе Найт-Сити, где власть, роскошь и модификации тела ценятся выше всего.</t>
  </si>
  <si>
    <t>https://www.youtube.com/watch?v=aSrFWinrkeQ</t>
  </si>
  <si>
    <t>https://ru.wikipedia.org/wiki/%D0%A4%D0%B0%D0%B9%D0%BB:%D0%9E%D0%B1%D0%BB%D0%BE%D0%B6%D0%BA%D0%B0_%D0%BA%D0%BE%D0%BC%D0%BF%D1%8C%D1%8E%D1%82%D0%B5%D1%80%D0%BD%D0%BE%D0%B9_%D0%B8%D0%B3%D1%80%D1%8B_Cyberpunk_2077.jpg</t>
  </si>
  <si>
    <t>https://www.cyberpunk.net/ru/ru/</t>
  </si>
  <si>
    <t>REDengine 4</t>
  </si>
  <si>
    <t>Bandai Namco Entertainment</t>
  </si>
  <si>
    <t xml:space="preserve"> bandainamcoent.com</t>
  </si>
  <si>
    <t>Playstation 5</t>
  </si>
  <si>
    <t>Хорошая игра, но багов много</t>
  </si>
  <si>
    <t xml:space="preserve"> </t>
  </si>
  <si>
    <t>Компании</t>
  </si>
  <si>
    <t>Компании к играм</t>
  </si>
  <si>
    <t>id Компании</t>
  </si>
  <si>
    <t>Тип компании</t>
  </si>
  <si>
    <t>Издатель</t>
  </si>
  <si>
    <t>Разработчик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</si>
</sst>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\.m\.yyyy"/>
    <numFmt numFmtId="165" formatCode="dd\.mm\.yyyy"/>
    <numFmt numFmtId="166" formatCode="dd\.mm\.yyyy\ h:mm"/>
  </numFmts>
  <fonts count="12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u/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/>
    <xf numFmtId="0" fontId="2" fillId="0" borderId="0" xfId="0" applyFont="1" applyAlignment="1"/>
    <xf numFmtId="0" fontId="1" fillId="3" borderId="1" xfId="0" applyFont="1" applyFill="1" applyBorder="1" applyAlignment="1"/>
    <xf numFmtId="164" fontId="1" fillId="3" borderId="1" xfId="0" applyNumberFormat="1" applyFont="1" applyFill="1" applyBorder="1" applyAlignment="1"/>
    <xf numFmtId="0" fontId="3" fillId="3" borderId="1" xfId="0" applyFont="1" applyFill="1" applyBorder="1" applyAlignment="1"/>
    <xf numFmtId="0" fontId="1" fillId="4" borderId="1" xfId="0" applyFont="1" applyFill="1" applyBorder="1" applyAlignment="1"/>
    <xf numFmtId="165" fontId="1" fillId="4" borderId="1" xfId="0" applyNumberFormat="1" applyFont="1" applyFill="1" applyBorder="1" applyAlignment="1"/>
    <xf numFmtId="0" fontId="4" fillId="4" borderId="1" xfId="0" applyFont="1" applyFill="1" applyBorder="1" applyAlignment="1"/>
    <xf numFmtId="0" fontId="5" fillId="4" borderId="1" xfId="0" applyFont="1" applyFill="1" applyBorder="1" applyAlignment="1"/>
    <xf numFmtId="0" fontId="6" fillId="3" borderId="1" xfId="0" applyFont="1" applyFill="1" applyBorder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7" fillId="3" borderId="1" xfId="0" applyFont="1" applyFill="1" applyBorder="1" applyAlignment="1">
      <alignment vertical="center"/>
    </xf>
    <xf numFmtId="0" fontId="1" fillId="4" borderId="1" xfId="0" applyFont="1" applyFill="1" applyBorder="1" applyAlignment="1"/>
    <xf numFmtId="0" fontId="1" fillId="4" borderId="1" xfId="0" applyFont="1" applyFill="1" applyBorder="1"/>
    <xf numFmtId="0" fontId="1" fillId="3" borderId="1" xfId="0" applyFont="1" applyFill="1" applyBorder="1"/>
    <xf numFmtId="165" fontId="1" fillId="3" borderId="1" xfId="0" applyNumberFormat="1" applyFont="1" applyFill="1" applyBorder="1" applyAlignment="1"/>
    <xf numFmtId="0" fontId="1" fillId="0" borderId="0" xfId="0" applyFont="1" applyAlignment="1"/>
    <xf numFmtId="164" fontId="1" fillId="4" borderId="1" xfId="0" applyNumberFormat="1" applyFont="1" applyFill="1" applyBorder="1" applyAlignment="1"/>
    <xf numFmtId="0" fontId="1" fillId="3" borderId="1" xfId="0" applyFont="1" applyFill="1" applyBorder="1" applyAlignment="1">
      <alignment horizontal="left"/>
    </xf>
    <xf numFmtId="0" fontId="2" fillId="4" borderId="1" xfId="0" applyFont="1" applyFill="1" applyBorder="1" applyAlignment="1"/>
    <xf numFmtId="0" fontId="2" fillId="3" borderId="1" xfId="0" applyFont="1" applyFill="1" applyBorder="1" applyAlignment="1"/>
    <xf numFmtId="166" fontId="2" fillId="3" borderId="1" xfId="0" applyNumberFormat="1" applyFont="1" applyFill="1" applyBorder="1" applyAlignment="1"/>
    <xf numFmtId="166" fontId="2" fillId="4" borderId="1" xfId="0" applyNumberFormat="1" applyFont="1" applyFill="1" applyBorder="1" applyAlignment="1"/>
    <xf numFmtId="0" fontId="0" fillId="0" borderId="0" xfId="0" applyFont="1" applyAlignment="1"/>
    <xf numFmtId="0" fontId="8" fillId="3" borderId="1" xfId="0" applyFont="1" applyFill="1" applyBorder="1" applyAlignment="1"/>
    <xf numFmtId="0" fontId="8" fillId="4" borderId="1" xfId="0" applyFont="1" applyFill="1" applyBorder="1" applyAlignment="1"/>
    <xf numFmtId="0" fontId="9" fillId="0" borderId="0" xfId="0" applyFont="1" applyAlignment="1"/>
    <xf numFmtId="166" fontId="10" fillId="3" borderId="1" xfId="0" applyNumberFormat="1" applyFont="1" applyFill="1" applyBorder="1" applyAlignment="1"/>
    <xf numFmtId="0" fontId="0" fillId="0" borderId="0" xfId="0" applyFont="1" applyAlignment="1"/>
    <xf numFmtId="0" fontId="1" fillId="3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14" fontId="8" fillId="3" borderId="1" xfId="0" applyNumberFormat="1" applyFont="1" applyFill="1" applyBorder="1" applyAlignment="1"/>
    <xf numFmtId="0" fontId="11" fillId="3" borderId="1" xfId="1" applyFill="1" applyBorder="1" applyAlignment="1"/>
    <xf numFmtId="0" fontId="1" fillId="0" borderId="2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Font="1" applyAlignment="1"/>
    <xf numFmtId="0" fontId="0" fillId="0" borderId="0" xfId="0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u.blizzard.com/ru-ru/games/war3/" TargetMode="External"/><Relationship Id="rId13" Type="http://schemas.openxmlformats.org/officeDocument/2006/relationships/hyperlink" Target="https://www.rockstargames.com/ru" TargetMode="External"/><Relationship Id="rId18" Type="http://schemas.openxmlformats.org/officeDocument/2006/relationships/hyperlink" Target="http://www.capcom.com/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rockstargames.com/reddeadredemption2/restricted-content/agegate/form?redirect=https%3A%2F%2Fwww.rockstargames.com%2Freddeadredemption2%2Fru&amp;options=&amp;locale=ru_ru" TargetMode="External"/><Relationship Id="rId21" Type="http://schemas.openxmlformats.org/officeDocument/2006/relationships/hyperlink" Target="https://www.cyberpunk.net/ru/ru/" TargetMode="External"/><Relationship Id="rId7" Type="http://schemas.openxmlformats.org/officeDocument/2006/relationships/hyperlink" Target="https://upload.wikimedia.org/wikipedia/ru/thumb/0/04/Warcraft_III_The_Frozen_Throne_Cover.jpg/274px-Warcraft_III_The_Frozen_Throne_Cover.jpg" TargetMode="External"/><Relationship Id="rId12" Type="http://schemas.openxmlformats.org/officeDocument/2006/relationships/hyperlink" Target="https://upload.wikimedia.org/wikipedia/ru/f/f0/Red_Dead_Logo.png" TargetMode="External"/><Relationship Id="rId17" Type="http://schemas.openxmlformats.org/officeDocument/2006/relationships/hyperlink" Target="https://www.softclub.ru/" TargetMode="External"/><Relationship Id="rId25" Type="http://schemas.openxmlformats.org/officeDocument/2006/relationships/hyperlink" Target="https://web.archive.org/web/20060823210858/http:/www.blackisle.com/" TargetMode="External"/><Relationship Id="rId2" Type="http://schemas.openxmlformats.org/officeDocument/2006/relationships/hyperlink" Target="https://upload.wikimedia.org/wikipedia/ru/thumb/0/03/Red_Dead_Redemption_2_coverart.jpg/274px-Red_Dead_Redemption_2_coverart.jpg" TargetMode="External"/><Relationship Id="rId16" Type="http://schemas.openxmlformats.org/officeDocument/2006/relationships/hyperlink" Target="https://upload.wikimedia.org/wikipedia/commons/thumb/4/40/Fallout_logo.svg/2560px-Fallout_logo.svg.png" TargetMode="External"/><Relationship Id="rId20" Type="http://schemas.openxmlformats.org/officeDocument/2006/relationships/hyperlink" Target="https://ru.wikipedia.org/wiki/%D0%A4%D0%B0%D0%B9%D0%BB:%D0%9E%D0%B1%D0%BB%D0%BE%D0%B6%D0%BA%D0%B0_%D0%BA%D0%BE%D0%BC%D0%BF%D1%8C%D1%8E%D1%82%D0%B5%D1%80%D0%BD%D0%BE%D0%B9_%D0%B8%D0%B3%D1%80%D1%8B_Cyberpunk_2077.jpg" TargetMode="External"/><Relationship Id="rId1" Type="http://schemas.openxmlformats.org/officeDocument/2006/relationships/hyperlink" Target="https://www.youtube.com/watch?v=0kqEBOZaP94" TargetMode="External"/><Relationship Id="rId6" Type="http://schemas.openxmlformats.org/officeDocument/2006/relationships/hyperlink" Target="https://thewitcher.com/ru/witcher3/" TargetMode="External"/><Relationship Id="rId11" Type="http://schemas.openxmlformats.org/officeDocument/2006/relationships/hyperlink" Target="https://web.archive.org/web/19980710153639/http:/interplay.com/fallout2/" TargetMode="External"/><Relationship Id="rId24" Type="http://schemas.openxmlformats.org/officeDocument/2006/relationships/hyperlink" Target="https://saber3d.com/" TargetMode="External"/><Relationship Id="rId5" Type="http://schemas.openxmlformats.org/officeDocument/2006/relationships/hyperlink" Target="https://upload.wikimedia.org/wikipedia/ru/thumb/a/a2/The_Witcher_3-_Wild_Hunt_Cover.jpg/266px-The_Witcher_3-_Wild_Hunt_Cover.jpg" TargetMode="External"/><Relationship Id="rId15" Type="http://schemas.openxmlformats.org/officeDocument/2006/relationships/hyperlink" Target="http://www.blizzard.com/" TargetMode="External"/><Relationship Id="rId23" Type="http://schemas.openxmlformats.org/officeDocument/2006/relationships/hyperlink" Target="http://www.capcom.com/" TargetMode="External"/><Relationship Id="rId10" Type="http://schemas.openxmlformats.org/officeDocument/2006/relationships/hyperlink" Target="https://upload.wikimedia.org/wikipedia/ru/thumb/4/49/Fallout2.jpg/274px-Fallout2.jpg" TargetMode="External"/><Relationship Id="rId19" Type="http://schemas.openxmlformats.org/officeDocument/2006/relationships/hyperlink" Target="https://bethesda.net/" TargetMode="External"/><Relationship Id="rId4" Type="http://schemas.openxmlformats.org/officeDocument/2006/relationships/hyperlink" Target="https://www.youtube.com/watch?v=A-mCKNTU_mU" TargetMode="External"/><Relationship Id="rId9" Type="http://schemas.openxmlformats.org/officeDocument/2006/relationships/hyperlink" Target="https://www.youtube.com/watch?v=5fr1KDYGkeo" TargetMode="External"/><Relationship Id="rId14" Type="http://schemas.openxmlformats.org/officeDocument/2006/relationships/hyperlink" Target="http://cdprojektred.com/" TargetMode="External"/><Relationship Id="rId22" Type="http://schemas.openxmlformats.org/officeDocument/2006/relationships/hyperlink" Target="https://www.youtube.com/watch?v=aSrFWinrke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78"/>
  <sheetViews>
    <sheetView tabSelected="1" zoomScaleNormal="100" workbookViewId="0">
      <selection activeCell="F66" sqref="F66"/>
    </sheetView>
  </sheetViews>
  <sheetFormatPr defaultColWidth="14.42578125" defaultRowHeight="15.75" customHeight="1" x14ac:dyDescent="0.2"/>
  <cols>
    <col min="1" max="1" width="22.42578125" customWidth="1"/>
    <col min="2" max="2" width="20.85546875" customWidth="1"/>
    <col min="3" max="3" width="18" customWidth="1"/>
    <col min="6" max="6" width="18.5703125" customWidth="1"/>
    <col min="7" max="7" width="15.7109375" customWidth="1"/>
    <col min="8" max="8" width="16.28515625" customWidth="1"/>
    <col min="9" max="9" width="23" customWidth="1"/>
    <col min="10" max="10" width="22.42578125" customWidth="1"/>
    <col min="11" max="11" width="21.42578125" customWidth="1"/>
    <col min="12" max="12" width="18.28515625" customWidth="1"/>
    <col min="13" max="13" width="19.7109375" customWidth="1"/>
  </cols>
  <sheetData>
    <row r="1" spans="1:13" ht="12.75" x14ac:dyDescent="0.2">
      <c r="A1" s="39" t="s">
        <v>0</v>
      </c>
      <c r="B1" s="41"/>
      <c r="C1" s="41"/>
      <c r="D1" s="41"/>
      <c r="E1" s="41"/>
      <c r="F1" s="41"/>
      <c r="G1" s="41"/>
      <c r="H1" s="41"/>
      <c r="I1" s="1"/>
    </row>
    <row r="2" spans="1:13" ht="12.75" x14ac:dyDescent="0.2">
      <c r="A2" s="12" t="s">
        <v>95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144</v>
      </c>
      <c r="I2" s="2" t="s">
        <v>145</v>
      </c>
      <c r="J2" s="3"/>
    </row>
    <row r="3" spans="1:13" ht="12.75" x14ac:dyDescent="0.2">
      <c r="A3" s="32">
        <v>0</v>
      </c>
      <c r="B3" s="4" t="s">
        <v>7</v>
      </c>
      <c r="C3" s="4" t="s">
        <v>8</v>
      </c>
      <c r="D3" s="5">
        <v>42661</v>
      </c>
      <c r="E3" s="6" t="s">
        <v>9</v>
      </c>
      <c r="F3" s="6" t="s">
        <v>10</v>
      </c>
      <c r="G3" s="6" t="s">
        <v>11</v>
      </c>
      <c r="H3" s="32">
        <f>E11</f>
        <v>0</v>
      </c>
      <c r="I3" s="32">
        <f>A11</f>
        <v>0</v>
      </c>
    </row>
    <row r="4" spans="1:13" ht="12.75" x14ac:dyDescent="0.2">
      <c r="A4" s="33">
        <v>1</v>
      </c>
      <c r="B4" s="7" t="s">
        <v>12</v>
      </c>
      <c r="C4" s="7" t="s">
        <v>13</v>
      </c>
      <c r="D4" s="8">
        <v>41310</v>
      </c>
      <c r="E4" s="9" t="s">
        <v>14</v>
      </c>
      <c r="F4" s="9" t="s">
        <v>15</v>
      </c>
      <c r="G4" s="10" t="s">
        <v>16</v>
      </c>
      <c r="H4" s="33">
        <f>E12</f>
        <v>1</v>
      </c>
      <c r="I4" s="33">
        <f>A12</f>
        <v>1</v>
      </c>
    </row>
    <row r="5" spans="1:13" ht="12.75" x14ac:dyDescent="0.2">
      <c r="A5" s="32">
        <v>2</v>
      </c>
      <c r="B5" s="4" t="s">
        <v>17</v>
      </c>
      <c r="C5" s="4" t="s">
        <v>18</v>
      </c>
      <c r="D5" s="27" t="s">
        <v>143</v>
      </c>
      <c r="E5" s="27" t="s">
        <v>143</v>
      </c>
      <c r="F5" s="11" t="s">
        <v>19</v>
      </c>
      <c r="G5" s="6" t="s">
        <v>20</v>
      </c>
      <c r="H5" s="34" t="s">
        <v>143</v>
      </c>
      <c r="I5" s="32">
        <f>A13</f>
        <v>2</v>
      </c>
    </row>
    <row r="6" spans="1:13" ht="12.75" x14ac:dyDescent="0.2">
      <c r="A6" s="33">
        <v>3</v>
      </c>
      <c r="B6" s="7" t="s">
        <v>21</v>
      </c>
      <c r="C6" s="28" t="s">
        <v>22</v>
      </c>
      <c r="D6" s="28" t="s">
        <v>143</v>
      </c>
      <c r="E6" s="9" t="s">
        <v>23</v>
      </c>
      <c r="F6" s="10" t="s">
        <v>24</v>
      </c>
      <c r="G6" s="10" t="s">
        <v>25</v>
      </c>
      <c r="H6" s="33">
        <f>E13</f>
        <v>2</v>
      </c>
      <c r="I6" s="33">
        <f>A14</f>
        <v>3</v>
      </c>
    </row>
    <row r="7" spans="1:13" s="26" customFormat="1" ht="12.75" x14ac:dyDescent="0.2">
      <c r="A7" s="32">
        <v>4</v>
      </c>
      <c r="B7" s="13" t="s">
        <v>152</v>
      </c>
      <c r="C7" s="13" t="s">
        <v>153</v>
      </c>
      <c r="D7" s="35">
        <v>41059</v>
      </c>
      <c r="E7" s="36" t="s">
        <v>154</v>
      </c>
      <c r="F7" s="36" t="s">
        <v>155</v>
      </c>
      <c r="G7" s="36" t="s">
        <v>156</v>
      </c>
      <c r="H7" s="34">
        <f>E14</f>
        <v>3</v>
      </c>
      <c r="I7" s="32"/>
    </row>
    <row r="9" spans="1:13" ht="12.75" x14ac:dyDescent="0.2">
      <c r="A9" s="38" t="s">
        <v>26</v>
      </c>
      <c r="B9" s="38"/>
      <c r="C9" s="38"/>
      <c r="D9" s="19"/>
      <c r="E9" s="37" t="s">
        <v>27</v>
      </c>
      <c r="F9" s="37"/>
      <c r="G9" s="26"/>
      <c r="H9" s="40" t="s">
        <v>163</v>
      </c>
      <c r="I9" s="40"/>
      <c r="J9" s="40"/>
      <c r="K9" s="40"/>
      <c r="L9" s="40"/>
    </row>
    <row r="10" spans="1:13" ht="12.75" x14ac:dyDescent="0.2">
      <c r="A10" s="12" t="s">
        <v>95</v>
      </c>
      <c r="B10" s="12" t="s">
        <v>1</v>
      </c>
      <c r="C10" s="12" t="s">
        <v>28</v>
      </c>
      <c r="E10" s="12" t="s">
        <v>95</v>
      </c>
      <c r="F10" s="12" t="s">
        <v>1</v>
      </c>
      <c r="H10" s="12" t="s">
        <v>95</v>
      </c>
      <c r="I10" s="12" t="s">
        <v>1</v>
      </c>
      <c r="J10" s="12" t="s">
        <v>29</v>
      </c>
      <c r="K10" s="12" t="s">
        <v>30</v>
      </c>
      <c r="L10" s="12" t="s">
        <v>31</v>
      </c>
      <c r="M10" s="42"/>
    </row>
    <row r="11" spans="1:13" ht="12.75" x14ac:dyDescent="0.2">
      <c r="A11" s="32">
        <v>0</v>
      </c>
      <c r="B11" s="13" t="s">
        <v>32</v>
      </c>
      <c r="C11" s="14" t="s">
        <v>33</v>
      </c>
      <c r="D11" s="29" t="s">
        <v>143</v>
      </c>
      <c r="E11" s="32">
        <v>0</v>
      </c>
      <c r="F11" s="13" t="s">
        <v>34</v>
      </c>
      <c r="H11" s="32">
        <v>0</v>
      </c>
      <c r="I11" s="4" t="s">
        <v>35</v>
      </c>
      <c r="J11" s="4" t="s">
        <v>36</v>
      </c>
      <c r="K11" s="4">
        <v>1998</v>
      </c>
      <c r="L11" s="6" t="s">
        <v>37</v>
      </c>
      <c r="M11" s="42" t="s">
        <v>143</v>
      </c>
    </row>
    <row r="12" spans="1:13" ht="12.75" x14ac:dyDescent="0.2">
      <c r="A12" s="33">
        <v>1</v>
      </c>
      <c r="B12" s="15" t="s">
        <v>38</v>
      </c>
      <c r="C12" s="16"/>
      <c r="E12" s="33">
        <v>1</v>
      </c>
      <c r="F12" s="15" t="s">
        <v>39</v>
      </c>
      <c r="H12" s="33">
        <v>1</v>
      </c>
      <c r="I12" s="7" t="s">
        <v>40</v>
      </c>
      <c r="J12" s="7" t="s">
        <v>41</v>
      </c>
      <c r="K12" s="7">
        <v>2002</v>
      </c>
      <c r="L12" s="9" t="s">
        <v>42</v>
      </c>
      <c r="M12" s="42" t="s">
        <v>162</v>
      </c>
    </row>
    <row r="13" spans="1:13" ht="12.75" x14ac:dyDescent="0.2">
      <c r="A13" s="32">
        <v>2</v>
      </c>
      <c r="B13" s="13" t="s">
        <v>43</v>
      </c>
      <c r="C13" s="17"/>
      <c r="E13" s="32">
        <v>2</v>
      </c>
      <c r="F13" s="13" t="s">
        <v>44</v>
      </c>
      <c r="H13" s="32">
        <v>2</v>
      </c>
      <c r="I13" s="4" t="s">
        <v>45</v>
      </c>
      <c r="J13" s="4" t="s">
        <v>36</v>
      </c>
      <c r="K13" s="4">
        <v>1991</v>
      </c>
      <c r="L13" s="6" t="s">
        <v>46</v>
      </c>
      <c r="M13" s="42" t="s">
        <v>162</v>
      </c>
    </row>
    <row r="14" spans="1:13" ht="12.75" x14ac:dyDescent="0.2">
      <c r="A14" s="33">
        <v>3</v>
      </c>
      <c r="B14" s="15" t="s">
        <v>47</v>
      </c>
      <c r="C14" s="10" t="s">
        <v>48</v>
      </c>
      <c r="D14" s="29" t="s">
        <v>143</v>
      </c>
      <c r="E14" s="33">
        <v>3</v>
      </c>
      <c r="F14" s="15" t="s">
        <v>157</v>
      </c>
      <c r="H14" s="33">
        <v>3</v>
      </c>
      <c r="I14" s="7" t="s">
        <v>49</v>
      </c>
      <c r="J14" s="7" t="s">
        <v>50</v>
      </c>
      <c r="K14" s="7">
        <v>1994</v>
      </c>
      <c r="L14" s="9" t="s">
        <v>51</v>
      </c>
      <c r="M14" s="42" t="s">
        <v>162</v>
      </c>
    </row>
    <row r="15" spans="1:13" ht="12.75" x14ac:dyDescent="0.2">
      <c r="A15" s="26"/>
      <c r="E15" s="26"/>
      <c r="H15" s="32">
        <v>4</v>
      </c>
      <c r="I15" s="4" t="s">
        <v>52</v>
      </c>
      <c r="J15" s="4" t="s">
        <v>53</v>
      </c>
      <c r="K15" s="18">
        <v>29005</v>
      </c>
      <c r="L15" s="6" t="s">
        <v>54</v>
      </c>
      <c r="M15" s="42" t="s">
        <v>162</v>
      </c>
    </row>
    <row r="16" spans="1:13" ht="12.75" x14ac:dyDescent="0.2">
      <c r="A16" s="37" t="s">
        <v>57</v>
      </c>
      <c r="B16" s="37"/>
      <c r="E16" s="26"/>
      <c r="H16" s="33">
        <v>5</v>
      </c>
      <c r="I16" s="7" t="s">
        <v>55</v>
      </c>
      <c r="J16" s="7" t="s">
        <v>36</v>
      </c>
      <c r="K16" s="8">
        <v>31591</v>
      </c>
      <c r="L16" s="9" t="s">
        <v>56</v>
      </c>
      <c r="M16" s="42"/>
    </row>
    <row r="17" spans="1:14" s="26" customFormat="1" ht="12.75" x14ac:dyDescent="0.2">
      <c r="A17" s="12" t="s">
        <v>95</v>
      </c>
      <c r="B17" s="12" t="s">
        <v>1</v>
      </c>
      <c r="H17" s="32">
        <v>6</v>
      </c>
      <c r="I17" s="13" t="s">
        <v>158</v>
      </c>
      <c r="J17" s="13" t="s">
        <v>53</v>
      </c>
      <c r="K17" s="18">
        <v>38807</v>
      </c>
      <c r="L17" s="6" t="s">
        <v>159</v>
      </c>
      <c r="M17" s="42" t="s">
        <v>162</v>
      </c>
    </row>
    <row r="18" spans="1:14" s="31" customFormat="1" ht="12.75" x14ac:dyDescent="0.2">
      <c r="A18" s="32">
        <v>0</v>
      </c>
      <c r="B18" s="13" t="s">
        <v>58</v>
      </c>
      <c r="D18" s="39" t="s">
        <v>78</v>
      </c>
      <c r="E18" s="39"/>
      <c r="H18" s="33">
        <v>7</v>
      </c>
      <c r="I18" s="15" t="s">
        <v>62</v>
      </c>
      <c r="J18" s="15" t="s">
        <v>36</v>
      </c>
      <c r="K18" s="15">
        <v>2001</v>
      </c>
      <c r="L18" s="9" t="s">
        <v>63</v>
      </c>
      <c r="M18" s="42" t="s">
        <v>162</v>
      </c>
    </row>
    <row r="19" spans="1:14" s="31" customFormat="1" ht="12.75" x14ac:dyDescent="0.2">
      <c r="A19" s="33">
        <v>1</v>
      </c>
      <c r="B19" s="15" t="s">
        <v>59</v>
      </c>
      <c r="D19" s="12" t="s">
        <v>95</v>
      </c>
      <c r="E19" s="12" t="s">
        <v>1</v>
      </c>
      <c r="H19" s="32">
        <v>8</v>
      </c>
      <c r="I19" s="13" t="s">
        <v>64</v>
      </c>
      <c r="J19" s="13" t="s">
        <v>36</v>
      </c>
      <c r="K19" s="13">
        <v>1996</v>
      </c>
      <c r="L19" s="6" t="s">
        <v>65</v>
      </c>
      <c r="M19" s="42" t="s">
        <v>162</v>
      </c>
    </row>
    <row r="20" spans="1:14" ht="12.75" x14ac:dyDescent="0.2">
      <c r="A20" s="32">
        <v>2</v>
      </c>
      <c r="B20" s="13" t="s">
        <v>60</v>
      </c>
      <c r="D20" s="32">
        <v>0</v>
      </c>
      <c r="E20" s="4" t="s">
        <v>80</v>
      </c>
      <c r="M20" s="42"/>
    </row>
    <row r="21" spans="1:14" ht="12.75" x14ac:dyDescent="0.2">
      <c r="A21" s="33">
        <v>3</v>
      </c>
      <c r="B21" s="15" t="s">
        <v>61</v>
      </c>
      <c r="D21" s="33">
        <v>1</v>
      </c>
      <c r="E21" s="7" t="s">
        <v>82</v>
      </c>
    </row>
    <row r="22" spans="1:14" ht="12.75" x14ac:dyDescent="0.2">
      <c r="A22" s="32">
        <v>4</v>
      </c>
      <c r="B22" s="13" t="s">
        <v>160</v>
      </c>
      <c r="D22" s="32">
        <v>2</v>
      </c>
      <c r="E22" s="4" t="s">
        <v>84</v>
      </c>
      <c r="G22" s="37" t="s">
        <v>93</v>
      </c>
      <c r="H22" s="37"/>
      <c r="I22" s="37"/>
      <c r="J22" s="37"/>
      <c r="K22" s="37"/>
    </row>
    <row r="23" spans="1:14" ht="12.75" x14ac:dyDescent="0.2">
      <c r="D23" s="33">
        <v>3</v>
      </c>
      <c r="E23" s="7" t="s">
        <v>86</v>
      </c>
      <c r="G23" s="12" t="s">
        <v>95</v>
      </c>
      <c r="H23" s="12" t="s">
        <v>96</v>
      </c>
      <c r="I23" s="12" t="s">
        <v>97</v>
      </c>
      <c r="J23" s="12" t="s">
        <v>98</v>
      </c>
      <c r="K23" s="12" t="s">
        <v>165</v>
      </c>
    </row>
    <row r="24" spans="1:14" ht="12.75" x14ac:dyDescent="0.2">
      <c r="C24" s="29" t="s">
        <v>143</v>
      </c>
      <c r="D24" s="32">
        <v>4</v>
      </c>
      <c r="E24" s="4" t="s">
        <v>89</v>
      </c>
      <c r="G24" s="13">
        <v>0</v>
      </c>
      <c r="H24" s="13" t="s">
        <v>100</v>
      </c>
      <c r="I24" s="13" t="s">
        <v>101</v>
      </c>
      <c r="J24" s="13" t="s">
        <v>102</v>
      </c>
      <c r="K24" s="13" t="e">
        <f>#REF!</f>
        <v>#REF!</v>
      </c>
    </row>
    <row r="25" spans="1:14" ht="12.75" x14ac:dyDescent="0.2">
      <c r="A25" s="37" t="s">
        <v>74</v>
      </c>
      <c r="B25" s="37"/>
      <c r="C25" s="29" t="s">
        <v>143</v>
      </c>
      <c r="D25" s="33">
        <v>5</v>
      </c>
      <c r="E25" s="7" t="s">
        <v>90</v>
      </c>
      <c r="G25" s="15">
        <v>1</v>
      </c>
      <c r="H25" s="15" t="s">
        <v>104</v>
      </c>
      <c r="I25" s="15" t="s">
        <v>105</v>
      </c>
      <c r="J25" s="15" t="s">
        <v>106</v>
      </c>
      <c r="K25" s="15">
        <f>H11</f>
        <v>0</v>
      </c>
    </row>
    <row r="26" spans="1:14" ht="12.75" x14ac:dyDescent="0.2">
      <c r="A26" s="12" t="s">
        <v>148</v>
      </c>
      <c r="B26" s="12" t="s">
        <v>146</v>
      </c>
      <c r="C26" s="29" t="s">
        <v>143</v>
      </c>
      <c r="D26" s="32">
        <v>6</v>
      </c>
      <c r="E26" s="4" t="s">
        <v>91</v>
      </c>
      <c r="G26" s="13">
        <v>2</v>
      </c>
      <c r="H26" s="13" t="s">
        <v>107</v>
      </c>
      <c r="I26" s="13" t="s">
        <v>108</v>
      </c>
      <c r="J26" s="13" t="s">
        <v>109</v>
      </c>
      <c r="K26" s="27">
        <f>H16</f>
        <v>5</v>
      </c>
    </row>
    <row r="27" spans="1:14" ht="12.75" x14ac:dyDescent="0.2">
      <c r="A27" s="13">
        <f>I33</f>
        <v>0</v>
      </c>
      <c r="B27" s="13">
        <f>A3</f>
        <v>0</v>
      </c>
      <c r="D27" s="26"/>
      <c r="E27" s="26"/>
      <c r="G27" s="7">
        <v>3</v>
      </c>
      <c r="H27" s="7" t="s">
        <v>110</v>
      </c>
      <c r="I27" s="7" t="s">
        <v>111</v>
      </c>
      <c r="J27" s="7" t="s">
        <v>112</v>
      </c>
      <c r="K27" s="7">
        <f>H12</f>
        <v>1</v>
      </c>
    </row>
    <row r="28" spans="1:14" s="26" customFormat="1" ht="12.75" x14ac:dyDescent="0.2">
      <c r="A28" s="15">
        <f>I34</f>
        <v>1</v>
      </c>
      <c r="B28" s="15">
        <f>A3</f>
        <v>0</v>
      </c>
      <c r="G28" s="4">
        <v>4</v>
      </c>
      <c r="H28" s="4" t="s">
        <v>113</v>
      </c>
      <c r="I28" s="4" t="s">
        <v>114</v>
      </c>
      <c r="J28" s="4" t="s">
        <v>115</v>
      </c>
      <c r="K28" s="4">
        <f>H11</f>
        <v>0</v>
      </c>
      <c r="L28" s="29"/>
    </row>
    <row r="29" spans="1:14" s="26" customFormat="1" ht="12.75" x14ac:dyDescent="0.2">
      <c r="A29" s="13">
        <f>I33</f>
        <v>0</v>
      </c>
      <c r="B29" s="13">
        <f>A4</f>
        <v>1</v>
      </c>
      <c r="L29" s="29"/>
    </row>
    <row r="30" spans="1:14" ht="15.75" customHeight="1" x14ac:dyDescent="0.2">
      <c r="A30" s="15">
        <f>I34</f>
        <v>1</v>
      </c>
      <c r="B30" s="15">
        <f>A4</f>
        <v>1</v>
      </c>
    </row>
    <row r="31" spans="1:14" ht="12.75" x14ac:dyDescent="0.2">
      <c r="A31" s="13">
        <f>I35</f>
        <v>2</v>
      </c>
      <c r="B31" s="13">
        <f>A5</f>
        <v>2</v>
      </c>
      <c r="D31" s="39" t="s">
        <v>66</v>
      </c>
      <c r="E31" s="41"/>
      <c r="F31" s="41"/>
      <c r="I31" s="37" t="s">
        <v>67</v>
      </c>
      <c r="J31" s="37"/>
    </row>
    <row r="32" spans="1:14" ht="12.75" x14ac:dyDescent="0.2">
      <c r="A32" s="15">
        <f>I36</f>
        <v>3</v>
      </c>
      <c r="B32" s="15">
        <f>A5</f>
        <v>2</v>
      </c>
      <c r="D32" s="12" t="s">
        <v>147</v>
      </c>
      <c r="E32" s="12" t="s">
        <v>146</v>
      </c>
      <c r="F32" s="12" t="s">
        <v>68</v>
      </c>
      <c r="I32" s="12" t="s">
        <v>95</v>
      </c>
      <c r="J32" s="12" t="s">
        <v>1</v>
      </c>
      <c r="L32" s="37" t="s">
        <v>164</v>
      </c>
      <c r="M32" s="37"/>
      <c r="N32" s="37"/>
    </row>
    <row r="33" spans="1:14" ht="12.75" x14ac:dyDescent="0.2">
      <c r="A33" s="13">
        <f>I33</f>
        <v>0</v>
      </c>
      <c r="B33" s="13">
        <f>A6</f>
        <v>3</v>
      </c>
      <c r="D33" s="4">
        <f>A18</f>
        <v>0</v>
      </c>
      <c r="E33" s="4">
        <f>A3</f>
        <v>0</v>
      </c>
      <c r="F33" s="5">
        <v>43774</v>
      </c>
      <c r="I33" s="32">
        <v>0</v>
      </c>
      <c r="J33" s="4" t="s">
        <v>69</v>
      </c>
      <c r="L33" s="12" t="s">
        <v>165</v>
      </c>
      <c r="M33" s="12" t="s">
        <v>146</v>
      </c>
      <c r="N33" s="12" t="s">
        <v>166</v>
      </c>
    </row>
    <row r="34" spans="1:14" ht="12.75" x14ac:dyDescent="0.2">
      <c r="A34" s="15">
        <f>I34</f>
        <v>1</v>
      </c>
      <c r="B34" s="15">
        <f>A7</f>
        <v>4</v>
      </c>
      <c r="D34" s="7">
        <f>A19</f>
        <v>1</v>
      </c>
      <c r="E34" s="7">
        <f>A3</f>
        <v>0</v>
      </c>
      <c r="F34" s="20">
        <v>43399</v>
      </c>
      <c r="I34" s="33">
        <v>1</v>
      </c>
      <c r="J34" s="7" t="s">
        <v>70</v>
      </c>
      <c r="L34" s="4">
        <f>H11</f>
        <v>0</v>
      </c>
      <c r="M34" s="4">
        <f>A3</f>
        <v>0</v>
      </c>
      <c r="N34" s="13" t="s">
        <v>167</v>
      </c>
    </row>
    <row r="35" spans="1:14" ht="12.75" x14ac:dyDescent="0.2">
      <c r="A35" s="13">
        <f>I33</f>
        <v>0</v>
      </c>
      <c r="B35" s="13">
        <f>A7</f>
        <v>4</v>
      </c>
      <c r="C35" s="29" t="s">
        <v>143</v>
      </c>
      <c r="D35" s="4">
        <f>A20</f>
        <v>2</v>
      </c>
      <c r="E35" s="4">
        <f>A3</f>
        <v>0</v>
      </c>
      <c r="F35" s="5">
        <v>43399</v>
      </c>
      <c r="I35" s="32">
        <v>2</v>
      </c>
      <c r="J35" s="4" t="s">
        <v>71</v>
      </c>
      <c r="L35" s="7">
        <f>H12</f>
        <v>1</v>
      </c>
      <c r="M35" s="7">
        <f>A4</f>
        <v>1</v>
      </c>
      <c r="N35" s="15" t="s">
        <v>167</v>
      </c>
    </row>
    <row r="36" spans="1:14" ht="12.75" x14ac:dyDescent="0.2">
      <c r="A36" s="26"/>
      <c r="B36" s="26"/>
      <c r="D36" s="7">
        <f>A18</f>
        <v>0</v>
      </c>
      <c r="E36" s="7">
        <f>A4</f>
        <v>1</v>
      </c>
      <c r="F36" s="8">
        <v>42143</v>
      </c>
      <c r="I36" s="33">
        <v>3</v>
      </c>
      <c r="J36" s="7" t="s">
        <v>72</v>
      </c>
      <c r="L36" s="4">
        <f>H13</f>
        <v>2</v>
      </c>
      <c r="M36" s="4">
        <f>A5</f>
        <v>2</v>
      </c>
      <c r="N36" s="13" t="s">
        <v>167</v>
      </c>
    </row>
    <row r="37" spans="1:14" ht="12.75" x14ac:dyDescent="0.2">
      <c r="A37" s="37" t="s">
        <v>88</v>
      </c>
      <c r="B37" s="37"/>
      <c r="D37" s="4">
        <f>A19</f>
        <v>1</v>
      </c>
      <c r="E37" s="4">
        <f>A4</f>
        <v>1</v>
      </c>
      <c r="F37" s="5">
        <v>42143</v>
      </c>
      <c r="L37" s="7">
        <f>H14</f>
        <v>3</v>
      </c>
      <c r="M37" s="7">
        <f>A5</f>
        <v>2</v>
      </c>
      <c r="N37" s="15" t="s">
        <v>167</v>
      </c>
    </row>
    <row r="38" spans="1:14" ht="12.75" x14ac:dyDescent="0.2">
      <c r="A38" s="12" t="s">
        <v>150</v>
      </c>
      <c r="B38" s="12" t="s">
        <v>146</v>
      </c>
      <c r="D38" s="7">
        <f>A20</f>
        <v>2</v>
      </c>
      <c r="E38" s="7">
        <f>A4</f>
        <v>1</v>
      </c>
      <c r="F38" s="8">
        <v>42143</v>
      </c>
      <c r="I38" s="37" t="s">
        <v>73</v>
      </c>
      <c r="J38" s="37"/>
      <c r="L38" s="4">
        <f>H15</f>
        <v>4</v>
      </c>
      <c r="M38" s="4">
        <f>A5</f>
        <v>2</v>
      </c>
      <c r="N38" s="13" t="s">
        <v>167</v>
      </c>
    </row>
    <row r="39" spans="1:14" ht="12.75" x14ac:dyDescent="0.2">
      <c r="A39" s="13">
        <f>I47</f>
        <v>2</v>
      </c>
      <c r="B39" s="13">
        <f>A3</f>
        <v>0</v>
      </c>
      <c r="D39" s="4">
        <f>A21</f>
        <v>3</v>
      </c>
      <c r="E39" s="4">
        <f>A4</f>
        <v>1</v>
      </c>
      <c r="F39" s="5">
        <v>43753</v>
      </c>
      <c r="I39" s="12" t="s">
        <v>95</v>
      </c>
      <c r="J39" s="12" t="s">
        <v>1</v>
      </c>
      <c r="L39" s="7">
        <f>H16</f>
        <v>5</v>
      </c>
      <c r="M39" s="7">
        <f>A6</f>
        <v>3</v>
      </c>
      <c r="N39" s="15" t="s">
        <v>167</v>
      </c>
    </row>
    <row r="40" spans="1:14" ht="12.75" x14ac:dyDescent="0.2">
      <c r="A40" s="15">
        <f>I48</f>
        <v>3</v>
      </c>
      <c r="B40" s="15">
        <f>A3</f>
        <v>0</v>
      </c>
      <c r="D40" s="7">
        <f>A18</f>
        <v>0</v>
      </c>
      <c r="E40" s="7">
        <f>A5</f>
        <v>2</v>
      </c>
      <c r="F40" s="8">
        <v>37803</v>
      </c>
      <c r="I40" s="32">
        <v>0</v>
      </c>
      <c r="J40" s="4" t="s">
        <v>75</v>
      </c>
      <c r="L40" s="13">
        <f>H14</f>
        <v>3</v>
      </c>
      <c r="M40" s="13">
        <f>A7</f>
        <v>4</v>
      </c>
      <c r="N40" s="13" t="s">
        <v>167</v>
      </c>
    </row>
    <row r="41" spans="1:14" ht="12.75" x14ac:dyDescent="0.2">
      <c r="A41" s="13">
        <f>I47</f>
        <v>2</v>
      </c>
      <c r="B41" s="13">
        <f>A4</f>
        <v>1</v>
      </c>
      <c r="D41" s="4">
        <f>A18</f>
        <v>0</v>
      </c>
      <c r="E41" s="4">
        <f>A6</f>
        <v>3</v>
      </c>
      <c r="F41" s="5">
        <v>36097</v>
      </c>
      <c r="G41" s="26"/>
      <c r="I41" s="33">
        <v>1</v>
      </c>
      <c r="J41" s="7" t="s">
        <v>76</v>
      </c>
      <c r="L41" s="15">
        <f>H17</f>
        <v>6</v>
      </c>
      <c r="M41" s="15">
        <f>A7</f>
        <v>4</v>
      </c>
      <c r="N41" s="15" t="s">
        <v>167</v>
      </c>
    </row>
    <row r="42" spans="1:14" ht="12.75" x14ac:dyDescent="0.2">
      <c r="A42" s="15">
        <f>I45</f>
        <v>0</v>
      </c>
      <c r="B42" s="15">
        <f>A4</f>
        <v>1</v>
      </c>
      <c r="D42" s="15">
        <f>A18</f>
        <v>0</v>
      </c>
      <c r="E42" s="15">
        <f>A7</f>
        <v>4</v>
      </c>
      <c r="F42" s="8">
        <v>44175</v>
      </c>
      <c r="L42" s="13">
        <f>H11</f>
        <v>0</v>
      </c>
      <c r="M42" s="13">
        <f>A3</f>
        <v>0</v>
      </c>
      <c r="N42" s="13" t="s">
        <v>168</v>
      </c>
    </row>
    <row r="43" spans="1:14" ht="12.75" x14ac:dyDescent="0.2">
      <c r="A43" s="13">
        <f>I46</f>
        <v>1</v>
      </c>
      <c r="B43" s="13">
        <f>A5</f>
        <v>2</v>
      </c>
      <c r="D43" s="13">
        <f>A19</f>
        <v>1</v>
      </c>
      <c r="E43" s="13">
        <f>A7</f>
        <v>4</v>
      </c>
      <c r="F43" s="5">
        <v>44175</v>
      </c>
      <c r="I43" s="40" t="s">
        <v>79</v>
      </c>
      <c r="J43" s="40"/>
      <c r="L43" s="15">
        <f>H12</f>
        <v>1</v>
      </c>
      <c r="M43" s="15">
        <f>A4</f>
        <v>1</v>
      </c>
      <c r="N43" s="15" t="s">
        <v>168</v>
      </c>
    </row>
    <row r="44" spans="1:14" ht="12.75" x14ac:dyDescent="0.2">
      <c r="A44" s="15">
        <f>I45</f>
        <v>0</v>
      </c>
      <c r="B44" s="15">
        <f>A6</f>
        <v>3</v>
      </c>
      <c r="D44" s="15">
        <f>A20</f>
        <v>2</v>
      </c>
      <c r="E44" s="15">
        <f>A7</f>
        <v>4</v>
      </c>
      <c r="F44" s="8">
        <v>44175</v>
      </c>
      <c r="I44" s="12" t="s">
        <v>95</v>
      </c>
      <c r="J44" s="12" t="s">
        <v>1</v>
      </c>
      <c r="L44" s="13">
        <f>H13</f>
        <v>2</v>
      </c>
      <c r="M44" s="13">
        <f>A5</f>
        <v>2</v>
      </c>
      <c r="N44" s="13" t="s">
        <v>168</v>
      </c>
    </row>
    <row r="45" spans="1:14" ht="12.75" x14ac:dyDescent="0.2">
      <c r="A45" s="13">
        <f>I45</f>
        <v>0</v>
      </c>
      <c r="B45" s="13">
        <f>A7</f>
        <v>4</v>
      </c>
      <c r="C45" s="29" t="s">
        <v>143</v>
      </c>
      <c r="I45" s="32">
        <v>0</v>
      </c>
      <c r="J45" s="13" t="s">
        <v>81</v>
      </c>
      <c r="L45" s="7">
        <f>H18</f>
        <v>7</v>
      </c>
      <c r="M45" s="7">
        <f>A4</f>
        <v>1</v>
      </c>
      <c r="N45" s="15" t="s">
        <v>168</v>
      </c>
    </row>
    <row r="46" spans="1:14" ht="12.75" x14ac:dyDescent="0.2">
      <c r="A46" s="15">
        <f>I48</f>
        <v>3</v>
      </c>
      <c r="B46" s="15">
        <f>A7</f>
        <v>4</v>
      </c>
      <c r="C46" s="29" t="s">
        <v>143</v>
      </c>
      <c r="E46" s="37" t="s">
        <v>77</v>
      </c>
      <c r="F46" s="37"/>
      <c r="I46" s="33">
        <v>1</v>
      </c>
      <c r="J46" s="15" t="s">
        <v>83</v>
      </c>
      <c r="L46" s="4">
        <f>H19</f>
        <v>8</v>
      </c>
      <c r="M46" s="4">
        <f>A6</f>
        <v>3</v>
      </c>
      <c r="N46" s="13" t="s">
        <v>168</v>
      </c>
    </row>
    <row r="47" spans="1:14" ht="12.75" x14ac:dyDescent="0.2">
      <c r="E47" s="12" t="s">
        <v>149</v>
      </c>
      <c r="F47" s="12" t="s">
        <v>146</v>
      </c>
      <c r="I47" s="32">
        <v>2</v>
      </c>
      <c r="J47" s="13" t="s">
        <v>85</v>
      </c>
      <c r="L47" s="15">
        <f>H12</f>
        <v>1</v>
      </c>
      <c r="M47" s="15">
        <f>A7</f>
        <v>4</v>
      </c>
      <c r="N47" s="15" t="s">
        <v>168</v>
      </c>
    </row>
    <row r="48" spans="1:14" ht="12.75" x14ac:dyDescent="0.2">
      <c r="E48" s="13">
        <f>I40</f>
        <v>0</v>
      </c>
      <c r="F48" s="13">
        <f>A3</f>
        <v>0</v>
      </c>
      <c r="I48" s="33">
        <v>3</v>
      </c>
      <c r="J48" s="15" t="s">
        <v>87</v>
      </c>
    </row>
    <row r="49" spans="1:13" ht="12.75" x14ac:dyDescent="0.2">
      <c r="A49" s="39" t="s">
        <v>92</v>
      </c>
      <c r="B49" s="41"/>
      <c r="C49" s="41"/>
      <c r="E49" s="15">
        <f>I41</f>
        <v>1</v>
      </c>
      <c r="F49" s="15">
        <f>A3</f>
        <v>0</v>
      </c>
    </row>
    <row r="50" spans="1:13" ht="12.75" x14ac:dyDescent="0.2">
      <c r="A50" s="12" t="s">
        <v>151</v>
      </c>
      <c r="B50" s="12" t="s">
        <v>146</v>
      </c>
      <c r="C50" s="12" t="s">
        <v>94</v>
      </c>
      <c r="E50" s="13">
        <f>I40</f>
        <v>0</v>
      </c>
      <c r="F50" s="13">
        <f>A4</f>
        <v>1</v>
      </c>
    </row>
    <row r="51" spans="1:13" ht="12.75" x14ac:dyDescent="0.2">
      <c r="A51" s="4">
        <f>D20</f>
        <v>0</v>
      </c>
      <c r="B51" s="4">
        <f>A3</f>
        <v>0</v>
      </c>
      <c r="C51" s="4" t="s">
        <v>99</v>
      </c>
      <c r="E51" s="15">
        <f>I40</f>
        <v>0</v>
      </c>
      <c r="F51" s="15">
        <f>A5</f>
        <v>2</v>
      </c>
      <c r="H51" s="37" t="s">
        <v>116</v>
      </c>
      <c r="I51" s="37"/>
      <c r="J51" s="37"/>
      <c r="K51" s="37"/>
      <c r="L51" s="31"/>
      <c r="M51" s="31"/>
    </row>
    <row r="52" spans="1:13" ht="12.75" x14ac:dyDescent="0.2">
      <c r="A52" s="7">
        <f>D20</f>
        <v>0</v>
      </c>
      <c r="B52" s="7">
        <f>A3</f>
        <v>0</v>
      </c>
      <c r="C52" s="7" t="s">
        <v>103</v>
      </c>
      <c r="E52" s="13">
        <f>I41</f>
        <v>1</v>
      </c>
      <c r="F52" s="13">
        <f>A5</f>
        <v>2</v>
      </c>
      <c r="H52" s="12" t="s">
        <v>95</v>
      </c>
      <c r="I52" s="12" t="s">
        <v>97</v>
      </c>
      <c r="J52" s="12" t="s">
        <v>117</v>
      </c>
      <c r="K52" s="12" t="s">
        <v>118</v>
      </c>
      <c r="L52" s="31"/>
      <c r="M52" s="31"/>
    </row>
    <row r="53" spans="1:13" ht="12.75" x14ac:dyDescent="0.2">
      <c r="A53" s="4">
        <f>D21</f>
        <v>1</v>
      </c>
      <c r="B53" s="4">
        <f>A3</f>
        <v>0</v>
      </c>
      <c r="C53" s="4" t="s">
        <v>103</v>
      </c>
      <c r="E53" s="15">
        <f>I40</f>
        <v>0</v>
      </c>
      <c r="F53" s="15">
        <f>A6</f>
        <v>3</v>
      </c>
      <c r="H53" s="13">
        <v>0</v>
      </c>
      <c r="I53" s="13" t="s">
        <v>119</v>
      </c>
      <c r="J53" s="13" t="s">
        <v>120</v>
      </c>
      <c r="K53" s="21">
        <v>123</v>
      </c>
      <c r="L53" s="31"/>
      <c r="M53" s="31"/>
    </row>
    <row r="54" spans="1:13" ht="12.75" x14ac:dyDescent="0.2">
      <c r="A54" s="7">
        <f>D22</f>
        <v>2</v>
      </c>
      <c r="B54" s="7">
        <f>A3</f>
        <v>0</v>
      </c>
      <c r="C54" s="7" t="s">
        <v>103</v>
      </c>
      <c r="E54" s="13">
        <f>I40</f>
        <v>0</v>
      </c>
      <c r="F54" s="13">
        <f>A7</f>
        <v>4</v>
      </c>
      <c r="H54" s="15">
        <v>1</v>
      </c>
      <c r="I54" s="22" t="s">
        <v>121</v>
      </c>
      <c r="J54" s="22" t="s">
        <v>122</v>
      </c>
      <c r="K54" s="15" t="s">
        <v>123</v>
      </c>
      <c r="L54" s="31"/>
      <c r="M54" s="31"/>
    </row>
    <row r="55" spans="1:13" ht="12.75" x14ac:dyDescent="0.2">
      <c r="A55" s="4">
        <f>D23</f>
        <v>3</v>
      </c>
      <c r="B55" s="4">
        <f>A3</f>
        <v>0</v>
      </c>
      <c r="C55" s="4" t="s">
        <v>103</v>
      </c>
      <c r="H55" s="13">
        <v>2</v>
      </c>
      <c r="I55" s="23" t="s">
        <v>124</v>
      </c>
      <c r="J55" s="23" t="s">
        <v>125</v>
      </c>
      <c r="K55" s="13" t="s">
        <v>126</v>
      </c>
      <c r="L55" s="31"/>
      <c r="M55" s="31"/>
    </row>
    <row r="56" spans="1:13" ht="12.75" x14ac:dyDescent="0.2">
      <c r="A56" s="7">
        <f>D24</f>
        <v>4</v>
      </c>
      <c r="B56" s="7">
        <f>A3</f>
        <v>0</v>
      </c>
      <c r="C56" s="7" t="s">
        <v>103</v>
      </c>
      <c r="H56" s="15">
        <v>3</v>
      </c>
      <c r="I56" s="22" t="s">
        <v>127</v>
      </c>
      <c r="J56" s="22" t="s">
        <v>128</v>
      </c>
      <c r="K56" s="15" t="s">
        <v>129</v>
      </c>
      <c r="L56" s="31"/>
      <c r="M56" s="31"/>
    </row>
    <row r="57" spans="1:13" ht="12.75" x14ac:dyDescent="0.2">
      <c r="A57" s="4">
        <f>D25</f>
        <v>5</v>
      </c>
      <c r="B57" s="4">
        <f>A3</f>
        <v>0</v>
      </c>
      <c r="C57" s="4" t="s">
        <v>103</v>
      </c>
      <c r="H57" s="13">
        <v>4</v>
      </c>
      <c r="I57" s="23" t="s">
        <v>130</v>
      </c>
      <c r="J57" s="23" t="s">
        <v>131</v>
      </c>
      <c r="K57" s="13" t="s">
        <v>132</v>
      </c>
      <c r="L57" s="31"/>
      <c r="M57" s="31"/>
    </row>
    <row r="58" spans="1:13" ht="12.75" x14ac:dyDescent="0.2">
      <c r="A58" s="7">
        <f>D20</f>
        <v>0</v>
      </c>
      <c r="B58" s="7">
        <f>A4</f>
        <v>1</v>
      </c>
      <c r="C58" s="7" t="s">
        <v>99</v>
      </c>
      <c r="H58" s="31"/>
      <c r="I58" s="31"/>
      <c r="J58" s="31"/>
      <c r="K58" s="31"/>
      <c r="L58" s="31"/>
      <c r="M58" s="31"/>
    </row>
    <row r="59" spans="1:13" ht="12.75" x14ac:dyDescent="0.2">
      <c r="A59" s="4">
        <f>D20</f>
        <v>0</v>
      </c>
      <c r="B59" s="4">
        <f>A4</f>
        <v>1</v>
      </c>
      <c r="C59" s="4" t="s">
        <v>103</v>
      </c>
      <c r="H59" s="31"/>
      <c r="I59" s="31"/>
      <c r="J59" s="31"/>
      <c r="K59" s="31"/>
      <c r="L59" s="31"/>
      <c r="M59" s="31"/>
    </row>
    <row r="60" spans="1:13" ht="12.75" x14ac:dyDescent="0.2">
      <c r="A60" s="7">
        <f>D21</f>
        <v>1</v>
      </c>
      <c r="B60" s="7">
        <f>A4</f>
        <v>1</v>
      </c>
      <c r="C60" s="7" t="s">
        <v>99</v>
      </c>
      <c r="E60" s="31"/>
      <c r="F60" s="31"/>
      <c r="G60" s="31"/>
      <c r="H60" s="37" t="s">
        <v>133</v>
      </c>
      <c r="I60" s="37"/>
      <c r="J60" s="37"/>
      <c r="K60" s="37"/>
      <c r="L60" s="37"/>
      <c r="M60" s="37"/>
    </row>
    <row r="61" spans="1:13" ht="12.75" x14ac:dyDescent="0.2">
      <c r="A61" s="4">
        <f>D21</f>
        <v>1</v>
      </c>
      <c r="B61" s="4">
        <f>A4</f>
        <v>1</v>
      </c>
      <c r="C61" s="4" t="s">
        <v>103</v>
      </c>
      <c r="E61" s="31"/>
      <c r="F61" s="31"/>
      <c r="G61" s="31"/>
      <c r="H61" s="12" t="s">
        <v>95</v>
      </c>
      <c r="I61" s="12" t="s">
        <v>134</v>
      </c>
      <c r="J61" s="12" t="s">
        <v>135</v>
      </c>
      <c r="K61" s="12" t="s">
        <v>136</v>
      </c>
      <c r="L61" s="12" t="s">
        <v>137</v>
      </c>
      <c r="M61" s="12" t="s">
        <v>146</v>
      </c>
    </row>
    <row r="62" spans="1:13" ht="12.75" x14ac:dyDescent="0.2">
      <c r="A62" s="7">
        <f>D26</f>
        <v>6</v>
      </c>
      <c r="B62" s="7">
        <f>A4</f>
        <v>1</v>
      </c>
      <c r="C62" s="7" t="s">
        <v>99</v>
      </c>
      <c r="E62" s="31"/>
      <c r="F62" s="31"/>
      <c r="G62" s="31"/>
      <c r="H62" s="13">
        <v>0</v>
      </c>
      <c r="I62" s="13">
        <v>9</v>
      </c>
      <c r="J62" s="13" t="s">
        <v>138</v>
      </c>
      <c r="K62" s="30">
        <v>44252.725694444445</v>
      </c>
      <c r="L62" s="13">
        <f>H55</f>
        <v>2</v>
      </c>
      <c r="M62" s="13">
        <f>A6</f>
        <v>3</v>
      </c>
    </row>
    <row r="63" spans="1:13" ht="12.75" x14ac:dyDescent="0.2">
      <c r="A63" s="4">
        <f>D26</f>
        <v>6</v>
      </c>
      <c r="B63" s="4">
        <f>A4</f>
        <v>1</v>
      </c>
      <c r="C63" s="4" t="s">
        <v>103</v>
      </c>
      <c r="E63" s="31"/>
      <c r="F63" s="31"/>
      <c r="G63" s="31"/>
      <c r="H63" s="15">
        <v>1</v>
      </c>
      <c r="I63" s="15">
        <v>8</v>
      </c>
      <c r="J63" s="15" t="s">
        <v>139</v>
      </c>
      <c r="K63" s="25">
        <v>44267.5</v>
      </c>
      <c r="L63" s="15">
        <f>H54</f>
        <v>1</v>
      </c>
      <c r="M63" s="15">
        <f>A3</f>
        <v>0</v>
      </c>
    </row>
    <row r="64" spans="1:13" ht="12.75" x14ac:dyDescent="0.2">
      <c r="A64" s="7">
        <f>D24</f>
        <v>4</v>
      </c>
      <c r="B64" s="7">
        <f>A4</f>
        <v>1</v>
      </c>
      <c r="C64" s="7" t="s">
        <v>99</v>
      </c>
      <c r="E64" s="31"/>
      <c r="F64" s="31"/>
      <c r="G64" s="31"/>
      <c r="H64" s="13">
        <v>2</v>
      </c>
      <c r="I64" s="13">
        <v>10</v>
      </c>
      <c r="J64" s="13" t="s">
        <v>140</v>
      </c>
      <c r="K64" s="24">
        <v>43967.614583333336</v>
      </c>
      <c r="L64" s="13">
        <f>H56</f>
        <v>3</v>
      </c>
      <c r="M64" s="13">
        <f>A4</f>
        <v>1</v>
      </c>
    </row>
    <row r="65" spans="1:14" ht="12.75" x14ac:dyDescent="0.2">
      <c r="A65" s="4">
        <f>D24</f>
        <v>4</v>
      </c>
      <c r="B65" s="4">
        <f>A4</f>
        <v>1</v>
      </c>
      <c r="C65" s="4" t="s">
        <v>103</v>
      </c>
      <c r="E65" s="31"/>
      <c r="F65" s="31"/>
      <c r="G65" s="31"/>
      <c r="H65" s="15">
        <v>3</v>
      </c>
      <c r="I65" s="15">
        <v>7</v>
      </c>
      <c r="J65" s="15" t="s">
        <v>141</v>
      </c>
      <c r="K65" s="25">
        <v>43967.55</v>
      </c>
      <c r="L65" s="15">
        <f>H55</f>
        <v>2</v>
      </c>
      <c r="M65" s="15">
        <f>A5</f>
        <v>2</v>
      </c>
    </row>
    <row r="66" spans="1:14" ht="12.75" x14ac:dyDescent="0.2">
      <c r="A66" s="7">
        <f>D23</f>
        <v>3</v>
      </c>
      <c r="B66" s="15">
        <f>A4</f>
        <v>1</v>
      </c>
      <c r="C66" s="7" t="s">
        <v>99</v>
      </c>
      <c r="E66" s="31"/>
      <c r="F66" s="31"/>
      <c r="G66" s="31"/>
      <c r="H66" s="13">
        <v>4</v>
      </c>
      <c r="I66" s="13">
        <v>8</v>
      </c>
      <c r="J66" s="13" t="s">
        <v>142</v>
      </c>
      <c r="K66" s="24">
        <v>43651.690972222219</v>
      </c>
      <c r="L66" s="13">
        <f>H57</f>
        <v>4</v>
      </c>
      <c r="M66" s="13">
        <f>A4</f>
        <v>1</v>
      </c>
    </row>
    <row r="67" spans="1:14" ht="12.75" x14ac:dyDescent="0.2">
      <c r="A67" s="4">
        <f>D20</f>
        <v>0</v>
      </c>
      <c r="B67" s="4">
        <f>A6</f>
        <v>3</v>
      </c>
      <c r="C67" s="4" t="s">
        <v>103</v>
      </c>
      <c r="E67" s="31"/>
      <c r="F67" s="31"/>
      <c r="G67" s="31"/>
      <c r="H67" s="15">
        <v>5</v>
      </c>
      <c r="I67" s="15">
        <v>10</v>
      </c>
      <c r="J67" s="15" t="s">
        <v>161</v>
      </c>
      <c r="K67" s="25">
        <v>44268.425000000003</v>
      </c>
      <c r="L67" s="15">
        <f>H55</f>
        <v>2</v>
      </c>
      <c r="M67" s="15">
        <f>A7</f>
        <v>4</v>
      </c>
    </row>
    <row r="68" spans="1:14" ht="12.75" x14ac:dyDescent="0.2">
      <c r="A68" s="7">
        <f>D25</f>
        <v>5</v>
      </c>
      <c r="B68" s="7">
        <f>A6</f>
        <v>3</v>
      </c>
      <c r="C68" s="7" t="s">
        <v>103</v>
      </c>
    </row>
    <row r="69" spans="1:14" ht="12.75" x14ac:dyDescent="0.2">
      <c r="A69" s="4">
        <f>D24</f>
        <v>4</v>
      </c>
      <c r="B69" s="4">
        <f>A6</f>
        <v>3</v>
      </c>
      <c r="C69" s="4" t="s">
        <v>103</v>
      </c>
    </row>
    <row r="70" spans="1:14" ht="12.75" x14ac:dyDescent="0.2">
      <c r="A70" s="7">
        <f>D20</f>
        <v>0</v>
      </c>
      <c r="B70" s="7">
        <f>A5</f>
        <v>2</v>
      </c>
      <c r="C70" s="7" t="s">
        <v>103</v>
      </c>
    </row>
    <row r="71" spans="1:14" ht="12.75" x14ac:dyDescent="0.2">
      <c r="A71" s="4">
        <f>D25</f>
        <v>5</v>
      </c>
      <c r="B71" s="4">
        <f>A5</f>
        <v>2</v>
      </c>
      <c r="C71" s="4" t="s">
        <v>103</v>
      </c>
    </row>
    <row r="72" spans="1:14" ht="12.75" x14ac:dyDescent="0.2">
      <c r="A72" s="7">
        <f>D24</f>
        <v>4</v>
      </c>
      <c r="B72" s="7">
        <f>A5</f>
        <v>2</v>
      </c>
      <c r="C72" s="7" t="s">
        <v>103</v>
      </c>
    </row>
    <row r="73" spans="1:14" ht="12.75" x14ac:dyDescent="0.2">
      <c r="A73" s="13">
        <f>G66</f>
        <v>0</v>
      </c>
      <c r="B73" s="13">
        <f>A7</f>
        <v>4</v>
      </c>
      <c r="C73" s="13" t="s">
        <v>103</v>
      </c>
    </row>
    <row r="74" spans="1:14" ht="12.75" x14ac:dyDescent="0.2">
      <c r="A74" s="15">
        <f>G67</f>
        <v>0</v>
      </c>
      <c r="B74" s="15">
        <f>A7</f>
        <v>4</v>
      </c>
      <c r="C74" s="15" t="s">
        <v>99</v>
      </c>
    </row>
    <row r="75" spans="1:14" ht="12.75" x14ac:dyDescent="0.2">
      <c r="A75" s="13">
        <f>D21</f>
        <v>1</v>
      </c>
      <c r="B75" s="13">
        <f>A7</f>
        <v>4</v>
      </c>
      <c r="C75" s="13" t="s">
        <v>103</v>
      </c>
      <c r="N75" s="29" t="s">
        <v>143</v>
      </c>
    </row>
    <row r="76" spans="1:14" ht="12.75" x14ac:dyDescent="0.2">
      <c r="A76" s="15">
        <f>D21</f>
        <v>1</v>
      </c>
      <c r="B76" s="15">
        <f>A7</f>
        <v>4</v>
      </c>
      <c r="C76" s="15" t="s">
        <v>99</v>
      </c>
    </row>
    <row r="77" spans="1:14" ht="15.75" customHeight="1" x14ac:dyDescent="0.2">
      <c r="A77" s="13">
        <f>D25</f>
        <v>5</v>
      </c>
      <c r="B77" s="13">
        <f>A7</f>
        <v>4</v>
      </c>
      <c r="C77" s="13" t="s">
        <v>103</v>
      </c>
    </row>
    <row r="78" spans="1:14" ht="15.75" customHeight="1" x14ac:dyDescent="0.2">
      <c r="A78" s="15">
        <f>D25</f>
        <v>5</v>
      </c>
      <c r="B78" s="15">
        <f>A7</f>
        <v>4</v>
      </c>
      <c r="C78" s="15" t="s">
        <v>99</v>
      </c>
    </row>
  </sheetData>
  <mergeCells count="18">
    <mergeCell ref="G22:K22"/>
    <mergeCell ref="E46:F46"/>
    <mergeCell ref="H51:K51"/>
    <mergeCell ref="H9:L9"/>
    <mergeCell ref="A1:H1"/>
    <mergeCell ref="D31:F31"/>
    <mergeCell ref="A37:B37"/>
    <mergeCell ref="A49:C49"/>
    <mergeCell ref="A16:B16"/>
    <mergeCell ref="A25:B25"/>
    <mergeCell ref="I43:J43"/>
    <mergeCell ref="H60:M60"/>
    <mergeCell ref="L32:N32"/>
    <mergeCell ref="E9:F9"/>
    <mergeCell ref="A9:C9"/>
    <mergeCell ref="I31:J31"/>
    <mergeCell ref="I38:J38"/>
    <mergeCell ref="D18:E18"/>
  </mergeCells>
  <hyperlinks>
    <hyperlink ref="E3" r:id="rId1"/>
    <hyperlink ref="F3" r:id="rId2"/>
    <hyperlink ref="G3" r:id="rId3"/>
    <hyperlink ref="E4" r:id="rId4"/>
    <hyperlink ref="F4" r:id="rId5"/>
    <hyperlink ref="G4" r:id="rId6"/>
    <hyperlink ref="F5" r:id="rId7"/>
    <hyperlink ref="G5" r:id="rId8"/>
    <hyperlink ref="E6" r:id="rId9"/>
    <hyperlink ref="F6" r:id="rId10"/>
    <hyperlink ref="G6" r:id="rId11"/>
    <hyperlink ref="C11" r:id="rId12"/>
    <hyperlink ref="L11" r:id="rId13"/>
    <hyperlink ref="L12" r:id="rId14"/>
    <hyperlink ref="L13" r:id="rId15"/>
    <hyperlink ref="C14" r:id="rId16"/>
    <hyperlink ref="L14" r:id="rId17"/>
    <hyperlink ref="L15" r:id="rId18"/>
    <hyperlink ref="L16" r:id="rId19"/>
    <hyperlink ref="F7" r:id="rId20"/>
    <hyperlink ref="G7" r:id="rId21"/>
    <hyperlink ref="E7" r:id="rId22"/>
    <hyperlink ref="L17" r:id="rId23" display="http://www.capcom.com/"/>
    <hyperlink ref="L18" r:id="rId24"/>
    <hyperlink ref="L19" r:id="rId25"/>
  </hyperlinks>
  <pageMargins left="0.7" right="0.7" top="0.75" bottom="0.75" header="0.3" footer="0.3"/>
  <pageSetup paperSize="9" orientation="portrait" verticalDpi="0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OEM</cp:lastModifiedBy>
  <dcterms:modified xsi:type="dcterms:W3CDTF">2021-03-22T13:45:12Z</dcterms:modified>
</cp:coreProperties>
</file>